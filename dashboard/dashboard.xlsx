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C974A9A-9D7F-4039-9E37-60816BA42F36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604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<sst xmlns="http://schemas.openxmlformats.org/spreadsheetml/2006/main" count="2022" uniqueCount="324">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</sst>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0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0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0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35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806</v>
      </c>
    </row>
    <row r="13" spans="2:6">
      <c r="B13" s="14" t="s">
        <v>26</v>
      </c>
      <c r="C13" s="13">
        <v>1502</v>
      </c>
    </row>
    <row r="14" spans="2:6">
      <c r="B14" s="14" t="s">
        <v>318</v>
      </c>
      <c r="C14" s="13">
        <v>2308</v>
      </c>
    </row>
    <row r="17" spans="2:5">
      <c r="B17" s="14" t="s">
        <v>319</v>
      </c>
    </row>
    <row r="19" spans="2:5">
      <c r="B19" s="12" t="s">
        <v>17</v>
      </c>
      <c r="C19" t="s">
        <v>35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990</v>
      </c>
    </row>
    <row r="25" spans="2:5">
      <c r="B25" s="14" t="s">
        <v>318</v>
      </c>
      <c r="C25" s="15">
        <v>990</v>
      </c>
      <c r="E25" s="17">
        <f>GETPIVOTDATA("EA Play Season Pass
Price",$B$21)</f>
        <v>990</v>
      </c>
    </row>
    <row r="28" spans="2:5">
      <c r="B28" s="14" t="s">
        <v>321</v>
      </c>
    </row>
    <row r="30" spans="2:5">
      <c r="B30" s="12" t="s">
        <v>17</v>
      </c>
      <c r="C30" t="s">
        <v>35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480</v>
      </c>
    </row>
    <row r="35" spans="2:5">
      <c r="B35" s="14" t="s">
        <v>25</v>
      </c>
      <c r="C35" s="13">
        <v>660</v>
      </c>
    </row>
    <row r="36" spans="2:5">
      <c r="B36" s="14" t="s">
        <v>318</v>
      </c>
      <c r="C36" s="13">
        <v>1140</v>
      </c>
      <c r="E36" s="17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4" sqref="K14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2026-01-19T23:46:30Z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